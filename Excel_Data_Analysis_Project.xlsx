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4380" windowHeight="4420" firstSheet="4" activeTab="7"/>
  </bookViews>
  <sheets>
    <sheet name="Raw_Data" sheetId="1" r:id="rId1"/>
    <sheet name="Sales by Region" sheetId="5" r:id="rId2"/>
    <sheet name="Sales by Product" sheetId="6" r:id="rId3"/>
    <sheet name="Region vs. Category" sheetId="8" r:id="rId4"/>
    <sheet name="Monthly Sales Trend" sheetId="11" r:id="rId5"/>
    <sheet name="Working" sheetId="2" r:id="rId6"/>
    <sheet name="Sales by Category" sheetId="4" r:id="rId7"/>
    <sheet name="Summary" sheetId="3" r:id="rId8"/>
  </sheets>
  <definedNames>
    <definedName name="_xlcn.WorksheetConnection_Excel_Data_Analysis_Project.xlsxTable31" hidden="1">Table3[]</definedName>
  </definedNames>
  <calcPr calcId="152511"/>
  <pivotCaches>
    <pivotCache cacheId="36" r:id="rId9"/>
    <pivotCache cacheId="3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-e42e1098-1ee0-4abd-bf27-88a9989fc777" name="Table3" connection="WorksheetConnection_Excel_Data_Analysis_Project.xlsx!Table3"/>
        </x15:modelTables>
      </x15:dataModel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C2" i="3" l="1"/>
  <c r="B2" i="3"/>
  <c r="A2" i="3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J17" i="1" l="1"/>
  <c r="I17" i="1"/>
  <c r="I16" i="1"/>
  <c r="J16" i="1" s="1"/>
  <c r="J15" i="1"/>
  <c r="I15" i="1"/>
  <c r="I14" i="1"/>
  <c r="J14" i="1" s="1"/>
  <c r="J13" i="1"/>
  <c r="I13" i="1"/>
  <c r="I12" i="1"/>
  <c r="J12" i="1" s="1"/>
  <c r="J11" i="1"/>
  <c r="I11" i="1"/>
  <c r="I10" i="1"/>
  <c r="J10" i="1" s="1"/>
  <c r="J9" i="1"/>
  <c r="I9" i="1"/>
  <c r="I8" i="1"/>
  <c r="J8" i="1" s="1"/>
  <c r="J7" i="1"/>
  <c r="I7" i="1"/>
  <c r="I6" i="1"/>
  <c r="J6" i="1" s="1"/>
  <c r="J5" i="1"/>
  <c r="I5" i="1"/>
  <c r="I4" i="1"/>
  <c r="J4" i="1" s="1"/>
  <c r="J3" i="1"/>
  <c r="I3" i="1"/>
  <c r="I2" i="1"/>
  <c r="J2" i="1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D2" i="3" l="1"/>
  <c r="J3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xcel_Data_Analysis_Project.xlsx!Table3" type="102" refreshedVersion="5" minRefreshableVersion="5">
    <extLst>
      <ext xmlns:x15="http://schemas.microsoft.com/office/spreadsheetml/2010/11/main" uri="{DE250136-89BD-433C-8126-D09CA5730AF9}">
        <x15:connection id="Table3-e42e1098-1ee0-4abd-bf27-88a9989fc777" autoDelete="1">
          <x15:rangePr sourceName="_xlcn.WorksheetConnection_Excel_Data_Analysis_Project.xlsxTable31"/>
        </x15:connection>
      </ext>
    </extLst>
  </connection>
</connections>
</file>

<file path=xl/sharedStrings.xml><?xml version="1.0" encoding="utf-8"?>
<sst xmlns="http://schemas.openxmlformats.org/spreadsheetml/2006/main" count="200" uniqueCount="54">
  <si>
    <t>Order_Date</t>
  </si>
  <si>
    <t>Order_ID</t>
  </si>
  <si>
    <t>Product</t>
  </si>
  <si>
    <t>Category</t>
  </si>
  <si>
    <t>Region</t>
  </si>
  <si>
    <t>Quantity</t>
  </si>
  <si>
    <t>Unit_Price</t>
  </si>
  <si>
    <t>Sales</t>
  </si>
  <si>
    <t>Cost</t>
  </si>
  <si>
    <t>Profit</t>
  </si>
  <si>
    <t>ORD001</t>
  </si>
  <si>
    <t>Laptop</t>
  </si>
  <si>
    <t>Electronics</t>
  </si>
  <si>
    <t>West</t>
  </si>
  <si>
    <t>ORD002</t>
  </si>
  <si>
    <t>Chair</t>
  </si>
  <si>
    <t>Furniture</t>
  </si>
  <si>
    <t>North</t>
  </si>
  <si>
    <t>ORD003</t>
  </si>
  <si>
    <t>Mouse</t>
  </si>
  <si>
    <t>ORD004</t>
  </si>
  <si>
    <t>Desk</t>
  </si>
  <si>
    <t>South</t>
  </si>
  <si>
    <t>ORD005</t>
  </si>
  <si>
    <t>Notebook</t>
  </si>
  <si>
    <t>Stationery</t>
  </si>
  <si>
    <t>East</t>
  </si>
  <si>
    <t>ORD006</t>
  </si>
  <si>
    <t>Keyboard</t>
  </si>
  <si>
    <t>ORD007</t>
  </si>
  <si>
    <t>Pen</t>
  </si>
  <si>
    <t>ORD008</t>
  </si>
  <si>
    <t>Monitor</t>
  </si>
  <si>
    <t>ORD009</t>
  </si>
  <si>
    <t>Table</t>
  </si>
  <si>
    <t>ORD010</t>
  </si>
  <si>
    <t>ORD011</t>
  </si>
  <si>
    <t>ORD012</t>
  </si>
  <si>
    <t>ORD013</t>
  </si>
  <si>
    <t>ORD014</t>
  </si>
  <si>
    <t>ORD015</t>
  </si>
  <si>
    <t>sum</t>
  </si>
  <si>
    <t>Row Labels</t>
  </si>
  <si>
    <t>(blank)</t>
  </si>
  <si>
    <t>Grand Total</t>
  </si>
  <si>
    <t>Sum of Sales</t>
  </si>
  <si>
    <t>Column Labels</t>
  </si>
  <si>
    <t>Total Sales</t>
  </si>
  <si>
    <t>Total Orders</t>
  </si>
  <si>
    <t>Total Quantity</t>
  </si>
  <si>
    <t>Total Profit</t>
  </si>
  <si>
    <t>13/10/2026</t>
  </si>
  <si>
    <t>14/10/2026</t>
  </si>
  <si>
    <t>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</si>
</sst>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[Excel_Data_Analysis_Project.xlsx]Sales by Region!PivotTable2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'Sales by Region'!$B$4:$B$9</c:f>
              <c:numCache>
                <c:formatCode>General</c:formatCode>
                <c:ptCount val="5"/>
                <c:pt idx="0">
                  <c:v>51000</c:v>
                </c:pt>
                <c:pt idx="1">
                  <c:v>43050</c:v>
                </c:pt>
                <c:pt idx="2">
                  <c:v>31000</c:v>
                </c:pt>
                <c:pt idx="3">
                  <c:v>92900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1884640"/>
        <c:axId val="1998953856"/>
      </c:barChart>
      <c:catAx>
        <c:axId val="204188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53856"/>
        <c:crosses val="autoZero"/>
        <c:auto val="1"/>
        <c:lblAlgn val="ctr"/>
        <c:lblOffset val="100"/>
        <c:noMultiLvlLbl val="0"/>
      </c:catAx>
      <c:valAx>
        <c:axId val="199895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8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[Excel_Data_Analysis_Project.xlsx]Sales by Category!PivotTable1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(blank)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181300</c:v>
                </c:pt>
                <c:pt idx="1">
                  <c:v>34500</c:v>
                </c:pt>
                <c:pt idx="2">
                  <c:v>2150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957120"/>
        <c:axId val="1998951680"/>
      </c:barChart>
      <c:catAx>
        <c:axId val="19989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51680"/>
        <c:crosses val="autoZero"/>
        <c:auto val="1"/>
        <c:lblAlgn val="ctr"/>
        <c:lblOffset val="100"/>
        <c:noMultiLvlLbl val="0"/>
      </c:catAx>
      <c:valAx>
        <c:axId val="19989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5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[Excel_Data_Analysis_Project.xlsx]Monthly Sales Trend!PivotTable2</c:name>
    <c:fmtId val="0"/>
  </c:pivotSource>
  <c:chart>
    <c:title>
      <c:layout>
        <c:manualLayout>
          <c:xMode val="edge"/>
          <c:yMode val="edge"/>
          <c:x val="0.4369444444444444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Trend'!$A$4:$A$20</c:f>
              <c:strCache>
                <c:ptCount val="16"/>
                <c:pt idx="0">
                  <c:v>13/10/2026</c:v>
                </c:pt>
                <c:pt idx="1">
                  <c:v>14/10/2026</c:v>
                </c:pt>
                <c:pt idx="2">
                  <c:v>15/10/2026</c:v>
                </c:pt>
                <c:pt idx="3">
                  <c:v>1/10/2026</c:v>
                </c:pt>
                <c:pt idx="4">
                  <c:v>2/10/2026</c:v>
                </c:pt>
                <c:pt idx="5">
                  <c:v>3/10/2026</c:v>
                </c:pt>
                <c:pt idx="6">
                  <c:v>4/10/2026</c:v>
                </c:pt>
                <c:pt idx="7">
                  <c:v>5/10/2026</c:v>
                </c:pt>
                <c:pt idx="8">
                  <c:v>6/10/2026</c:v>
                </c:pt>
                <c:pt idx="9">
                  <c:v>7/10/2026</c:v>
                </c:pt>
                <c:pt idx="10">
                  <c:v>8/10/2026</c:v>
                </c:pt>
                <c:pt idx="11">
                  <c:v>9/10/2026</c:v>
                </c:pt>
                <c:pt idx="12">
                  <c:v>10/10/2026</c:v>
                </c:pt>
                <c:pt idx="13">
                  <c:v>11/10/2026</c:v>
                </c:pt>
                <c:pt idx="14">
                  <c:v>12/10/2026</c:v>
                </c:pt>
                <c:pt idx="15">
                  <c:v>(blank)</c:v>
                </c:pt>
              </c:strCache>
            </c:strRef>
          </c:cat>
          <c:val>
            <c:numRef>
              <c:f>'Monthly Sales Trend'!$B$4:$B$20</c:f>
              <c:numCache>
                <c:formatCode>General</c:formatCode>
                <c:ptCount val="16"/>
                <c:pt idx="0">
                  <c:v>4000</c:v>
                </c:pt>
                <c:pt idx="1">
                  <c:v>500</c:v>
                </c:pt>
                <c:pt idx="2">
                  <c:v>30000</c:v>
                </c:pt>
                <c:pt idx="3">
                  <c:v>80000</c:v>
                </c:pt>
                <c:pt idx="4">
                  <c:v>7500</c:v>
                </c:pt>
                <c:pt idx="5">
                  <c:v>2500</c:v>
                </c:pt>
                <c:pt idx="6">
                  <c:v>7000</c:v>
                </c:pt>
                <c:pt idx="7">
                  <c:v>500</c:v>
                </c:pt>
                <c:pt idx="8">
                  <c:v>4800</c:v>
                </c:pt>
                <c:pt idx="9">
                  <c:v>400</c:v>
                </c:pt>
                <c:pt idx="10">
                  <c:v>20000</c:v>
                </c:pt>
                <c:pt idx="11">
                  <c:v>10000</c:v>
                </c:pt>
                <c:pt idx="12">
                  <c:v>750</c:v>
                </c:pt>
                <c:pt idx="13">
                  <c:v>40000</c:v>
                </c:pt>
                <c:pt idx="14">
                  <c:v>10000</c:v>
                </c:pt>
                <c:pt idx="1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730512"/>
        <c:axId val="1855725072"/>
      </c:lineChart>
      <c:catAx>
        <c:axId val="185573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25072"/>
        <c:crosses val="autoZero"/>
        <c:auto val="1"/>
        <c:lblAlgn val="ctr"/>
        <c:lblOffset val="100"/>
        <c:noMultiLvlLbl val="0"/>
      </c:catAx>
      <c:valAx>
        <c:axId val="18557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3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5</xdr:row>
      <xdr:rowOff>57150</xdr:rowOff>
    </xdr:from>
    <xdr:to>
      <xdr:col>14</xdr:col>
      <xdr:colOff>9525</xdr:colOff>
      <xdr:row>20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739775</xdr:colOff>
      <xdr:row>5</xdr:row>
      <xdr:rowOff>88900</xdr:rowOff>
    </xdr:from>
    <xdr:to>
      <xdr:col>6</xdr:col>
      <xdr:colOff>447675</xdr:colOff>
      <xdr:row>20</xdr:row>
      <xdr:rowOff>69850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669925</xdr:colOff>
      <xdr:row>25</xdr:row>
      <xdr:rowOff>19050</xdr:rowOff>
    </xdr:from>
    <xdr:to>
      <xdr:col>9</xdr:col>
      <xdr:colOff>574675</xdr:colOff>
      <xdr:row>40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09.831922106481" createdVersion="5" refreshedVersion="5" minRefreshableVersion="3" recordCount="16">
  <cacheSource type="worksheet">
    <worksheetSource name="SalesData"/>
  </cacheSource>
  <cacheFields count="11">
    <cacheField name="Order_Date" numFmtId="0">
      <sharedItems containsDate="1" containsBlank="1" containsMixedTypes="1" minDate="2026-01-10T00:00:00" maxDate="2026-12-11T00:00:00" count="29">
        <m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3/10/2026"/>
        <s v="14/10/2026"/>
        <s v="15/10/2026"/>
        <s v="13-10-2026" u="1"/>
        <s v="Formula5" f="1"/>
        <s v="15-10-2026" u="1"/>
        <s v="Formula4" f="1"/>
        <s v="Formula9" f="1"/>
        <s v="Formula3" f="1"/>
        <s v="Formula8" f="1"/>
        <s v="14-10-2026" u="1"/>
        <s v="Formula2" f="1"/>
        <s v="Formula7" f="1"/>
        <s v="Formula1" f="1"/>
        <s v="Formula6" f="1"/>
        <s v="Formula10" f="1"/>
      </sharedItems>
    </cacheField>
    <cacheField name="Order_ID" numFmtId="0">
      <sharedItems containsBlank="1"/>
    </cacheField>
    <cacheField name="Product" numFmtId="0">
      <sharedItems containsBlank="1" count="10">
        <m/>
        <s v="Laptop"/>
        <s v="Chair"/>
        <s v="Mouse"/>
        <s v="Desk"/>
        <s v="Notebook"/>
        <s v="Keyboard"/>
        <s v="Pen"/>
        <s v="Monitor"/>
        <s v="Table"/>
      </sharedItems>
    </cacheField>
    <cacheField name="Category" numFmtId="0">
      <sharedItems containsBlank="1" count="4">
        <m/>
        <s v="Electronics"/>
        <s v="Furniture"/>
        <s v="Stationery"/>
      </sharedItems>
    </cacheField>
    <cacheField name="Region" numFmtId="0">
      <sharedItems containsBlank="1" count="5">
        <m/>
        <s v="West"/>
        <s v="North"/>
        <s v="South"/>
        <s v="East"/>
      </sharedItems>
    </cacheField>
    <cacheField name="Quantity" numFmtId="0">
      <sharedItems containsString="0" containsBlank="1" containsNumber="1" containsInteger="1" minValue="1" maxValue="25"/>
    </cacheField>
    <cacheField name="Unit_Price" numFmtId="0">
      <sharedItems containsString="0" containsBlank="1" containsNumber="1" containsInteger="1" minValue="20" maxValue="40000"/>
    </cacheField>
    <cacheField name="Cost" numFmtId="0">
      <sharedItems containsString="0" containsBlank="1" containsNumber="1" containsInteger="1" minValue="200" maxValue="60000"/>
    </cacheField>
    <cacheField name="Sales" numFmtId="0">
      <sharedItems containsSemiMixedTypes="0" containsString="0" containsNumber="1" containsInteger="1" minValue="0" maxValue="80000"/>
    </cacheField>
    <cacheField name="Profit" numFmtId="0">
      <sharedItems containsSemiMixedTypes="0" containsString="0" containsNumber="1" containsInteger="1" minValue="0" maxValue="20000"/>
    </cacheField>
    <cacheField name="sum" numFmtId="0">
      <sharedItems containsString="0" containsBlank="1" containsNumber="1" containsInteger="1" minValue="22750" maxValue="157900"/>
    </cacheField>
  </cacheFields>
  <calculatedItems count="10">
    <calculatedItem>
      <pivotArea cacheIndex="1" outline="0" fieldPosition="0">
        <references count="1">
          <reference field="0" count="1">
            <x v="26"/>
          </reference>
        </references>
      </pivotArea>
    </calculatedItem>
    <calculatedItem>
      <pivotArea cacheIndex="1" outline="0" fieldPosition="0">
        <references count="1">
          <reference field="0" count="1">
            <x v="24"/>
          </reference>
        </references>
      </pivotArea>
    </calculatedItem>
    <calculatedItem>
      <pivotArea cacheIndex="1" outline="0" fieldPosition="0">
        <references count="1">
          <reference field="0" count="1">
            <x v="21"/>
          </reference>
        </references>
      </pivotArea>
    </calculatedItem>
    <calculatedItem>
      <pivotArea cacheIndex="1" outline="0" fieldPosition="0">
        <references count="1">
          <reference field="0" count="1">
            <x v="19"/>
          </reference>
        </references>
      </pivotArea>
    </calculatedItem>
    <calculatedItem>
      <pivotArea cacheIndex="1" outline="0" fieldPosition="0">
        <references count="1">
          <reference field="0" count="1">
            <x v="17"/>
          </reference>
        </references>
      </pivotArea>
    </calculatedItem>
    <calculatedItem>
      <pivotArea cacheIndex="1" outline="0" fieldPosition="0">
        <references count="1">
          <reference field="0" count="1">
            <x v="27"/>
          </reference>
        </references>
      </pivotArea>
    </calculatedItem>
    <calculatedItem>
      <pivotArea cacheIndex="1" outline="0" fieldPosition="0">
        <references count="1">
          <reference field="0" count="1">
            <x v="25"/>
          </reference>
        </references>
      </pivotArea>
    </calculatedItem>
    <calculatedItem>
      <pivotArea cacheIndex="1" outline="0" fieldPosition="0">
        <references count="1">
          <reference field="0" count="1">
            <x v="22"/>
          </reference>
        </references>
      </pivotArea>
    </calculatedItem>
    <calculatedItem>
      <pivotArea cacheIndex="1" outline="0" fieldPosition="0">
        <references count="1">
          <reference field="0" count="1">
            <x v="20"/>
          </reference>
        </references>
      </pivotArea>
    </calculatedItem>
    <calculatedItem>
      <pivotArea cacheIndex="1" outline="0" fieldPosition="0">
        <references count="1">
          <reference field="0" count="1">
            <x v="28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309.831922800928" createdVersion="5" refreshedVersion="5" minRefreshableVersion="3" recordCount="5">
  <cacheSource type="worksheet">
    <worksheetSource ref="A3:B8" sheet="Sales by Category"/>
  </cacheSource>
  <cacheFields count="2">
    <cacheField name="Row Labels" numFmtId="0">
      <sharedItems/>
    </cacheField>
    <cacheField name="Sum of Sales" numFmtId="0">
      <sharedItems containsSemiMixedTypes="0" containsString="0" containsNumber="1" containsInteger="1" minValue="0" maxValue="217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m/>
    <x v="0"/>
    <x v="0"/>
    <x v="0"/>
    <m/>
    <m/>
    <m/>
    <n v="0"/>
    <n v="0"/>
    <m/>
  </r>
  <r>
    <x v="1"/>
    <s v="ORD001"/>
    <x v="1"/>
    <x v="1"/>
    <x v="1"/>
    <n v="2"/>
    <n v="40000"/>
    <n v="60000"/>
    <n v="80000"/>
    <n v="20000"/>
    <n v="157900"/>
  </r>
  <r>
    <x v="2"/>
    <s v="ORD002"/>
    <x v="2"/>
    <x v="2"/>
    <x v="2"/>
    <n v="3"/>
    <n v="2500"/>
    <n v="4500"/>
    <n v="7500"/>
    <n v="3000"/>
    <n v="157900"/>
  </r>
  <r>
    <x v="3"/>
    <s v="ORD003"/>
    <x v="3"/>
    <x v="1"/>
    <x v="1"/>
    <n v="5"/>
    <n v="500"/>
    <n v="1500"/>
    <n v="2500"/>
    <n v="1000"/>
    <n v="97900"/>
  </r>
  <r>
    <x v="4"/>
    <s v="ORD004"/>
    <x v="4"/>
    <x v="2"/>
    <x v="3"/>
    <n v="1"/>
    <n v="7000"/>
    <n v="5000"/>
    <n v="7000"/>
    <n v="2000"/>
    <n v="93400"/>
  </r>
  <r>
    <x v="5"/>
    <s v="ORD005"/>
    <x v="5"/>
    <x v="3"/>
    <x v="4"/>
    <n v="10"/>
    <n v="50"/>
    <n v="300"/>
    <n v="500"/>
    <n v="200"/>
    <n v="91900"/>
  </r>
  <r>
    <x v="6"/>
    <s v="ORD006"/>
    <x v="6"/>
    <x v="1"/>
    <x v="2"/>
    <n v="4"/>
    <n v="1200"/>
    <n v="2800"/>
    <n v="4800"/>
    <n v="2000"/>
    <n v="86900"/>
  </r>
  <r>
    <x v="7"/>
    <s v="ORD007"/>
    <x v="7"/>
    <x v="3"/>
    <x v="1"/>
    <n v="20"/>
    <n v="20"/>
    <n v="200"/>
    <n v="400"/>
    <n v="200"/>
    <n v="86600"/>
  </r>
  <r>
    <x v="8"/>
    <s v="ORD008"/>
    <x v="8"/>
    <x v="1"/>
    <x v="3"/>
    <n v="2"/>
    <n v="10000"/>
    <n v="15000"/>
    <n v="20000"/>
    <n v="5000"/>
    <n v="83800"/>
  </r>
  <r>
    <x v="9"/>
    <s v="ORD009"/>
    <x v="9"/>
    <x v="2"/>
    <x v="4"/>
    <n v="2"/>
    <n v="5000"/>
    <n v="7000"/>
    <n v="10000"/>
    <n v="3000"/>
    <n v="83600"/>
  </r>
  <r>
    <x v="10"/>
    <s v="ORD010"/>
    <x v="5"/>
    <x v="3"/>
    <x v="2"/>
    <n v="15"/>
    <n v="50"/>
    <n v="450"/>
    <n v="750"/>
    <n v="300"/>
    <n v="68600"/>
  </r>
  <r>
    <x v="11"/>
    <s v="ORD011"/>
    <x v="1"/>
    <x v="1"/>
    <x v="4"/>
    <n v="1"/>
    <n v="40000"/>
    <n v="30000"/>
    <n v="40000"/>
    <n v="10000"/>
    <n v="61600"/>
  </r>
  <r>
    <x v="12"/>
    <s v="ORD012"/>
    <x v="2"/>
    <x v="2"/>
    <x v="1"/>
    <n v="4"/>
    <n v="2500"/>
    <n v="6000"/>
    <n v="10000"/>
    <n v="4000"/>
    <n v="61150"/>
  </r>
  <r>
    <x v="13"/>
    <s v="ORD013"/>
    <x v="3"/>
    <x v="1"/>
    <x v="3"/>
    <n v="8"/>
    <n v="500"/>
    <n v="2400"/>
    <n v="4000"/>
    <n v="1600"/>
    <n v="31150"/>
  </r>
  <r>
    <x v="14"/>
    <s v="ORD014"/>
    <x v="7"/>
    <x v="3"/>
    <x v="4"/>
    <n v="25"/>
    <n v="20"/>
    <n v="250"/>
    <n v="500"/>
    <n v="250"/>
    <n v="25150"/>
  </r>
  <r>
    <x v="15"/>
    <s v="ORD015"/>
    <x v="8"/>
    <x v="1"/>
    <x v="2"/>
    <n v="3"/>
    <n v="10000"/>
    <n v="22500"/>
    <n v="30000"/>
    <n v="7500"/>
    <n v="227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s v="Electronics"/>
    <n v="181300"/>
  </r>
  <r>
    <s v="Furniture"/>
    <n v="34500"/>
  </r>
  <r>
    <s v="Stationery"/>
    <n v="2150"/>
  </r>
  <r>
    <s v="(blank)"/>
    <n v="0"/>
  </r>
  <r>
    <s v="Grand Total"/>
    <n v="217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3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9" firstHeaderRow="1" firstDataRow="1" firstDataCol="1"/>
  <pivotFields count="11">
    <pivotField showAll="0">
      <items count="30">
        <item m="1" x="16"/>
        <item m="1" x="23"/>
        <item m="1" x="1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f="1" x="26"/>
        <item f="1" x="24"/>
        <item f="1" x="21"/>
        <item f="1" x="19"/>
        <item f="1" x="17"/>
        <item f="1" x="27"/>
        <item f="1" x="25"/>
        <item f="1" x="22"/>
        <item f="1" x="20"/>
        <item f="1" x="28"/>
        <item x="13"/>
        <item x="14"/>
        <item x="15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4" firstHeaderRow="1" firstDataRow="1" firstDataCol="1"/>
  <pivotFields count="11">
    <pivotField showAll="0">
      <items count="30">
        <item m="1" x="16"/>
        <item m="1" x="23"/>
        <item m="1" x="1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f="1" x="26"/>
        <item f="1" x="24"/>
        <item f="1" x="21"/>
        <item f="1" x="19"/>
        <item f="1" x="17"/>
        <item f="1" x="27"/>
        <item f="1" x="25"/>
        <item f="1" x="22"/>
        <item f="1" x="20"/>
        <item f="1" x="28"/>
        <item x="13"/>
        <item x="14"/>
        <item x="15"/>
        <item t="default"/>
      </items>
    </pivotField>
    <pivotField showAll="0"/>
    <pivotField axis="axisRow" showAll="0">
      <items count="11">
        <item x="2"/>
        <item x="4"/>
        <item x="6"/>
        <item x="1"/>
        <item x="8"/>
        <item x="3"/>
        <item x="5"/>
        <item x="7"/>
        <item x="9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3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F10" firstHeaderRow="1" firstDataRow="2" firstDataCol="1"/>
  <pivotFields count="11">
    <pivotField showAll="0">
      <items count="30">
        <item m="1" x="16"/>
        <item m="1" x="23"/>
        <item m="1" x="18"/>
        <item f="1" x="26"/>
        <item f="1" x="28"/>
        <item f="1" x="24"/>
        <item f="1" x="21"/>
        <item f="1" x="19"/>
        <item f="1" x="17"/>
        <item f="1" x="27"/>
        <item f="1" x="25"/>
        <item f="1" x="22"/>
        <item f="1" x="2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x="14"/>
        <item x="15"/>
        <item t="default"/>
      </items>
    </pivotField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3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0" firstHeaderRow="1" firstDataRow="1" firstDataCol="1"/>
  <pivotFields count="11">
    <pivotField axis="axisRow" showAll="0">
      <items count="30">
        <item x="13"/>
        <item m="1" x="16"/>
        <item x="14"/>
        <item f="1" m="1" x="23"/>
        <item x="15"/>
        <item f="1" m="1" x="18"/>
        <item f="1" m="1" x="26"/>
        <item f="1" m="1" x="28"/>
        <item f="1" m="1" x="24"/>
        <item f="1" m="1" x="21"/>
        <item f="1" m="1" x="19"/>
        <item f="1" m="1" x="17"/>
        <item f="1" m="1" x="27"/>
        <item f="1" m="1" x="25"/>
        <item f="1" m="1" x="22"/>
        <item f="1" m="1" x="2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7">
    <i>
      <x/>
    </i>
    <i>
      <x v="2"/>
    </i>
    <i>
      <x v="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3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8" firstHeaderRow="1" firstDataRow="1" firstDataCol="1"/>
  <pivotFields count="11">
    <pivotField showAll="0">
      <items count="30">
        <item m="1" x="16"/>
        <item m="1" x="23"/>
        <item m="1" x="1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f="1" x="26"/>
        <item f="1" x="24"/>
        <item f="1" x="21"/>
        <item f="1" x="19"/>
        <item f="1" x="17"/>
        <item f="1" x="27"/>
        <item f="1" x="25"/>
        <item f="1" x="22"/>
        <item f="1" x="20"/>
        <item f="1" x="28"/>
        <item x="13"/>
        <item x="14"/>
        <item x="15"/>
        <item t="default"/>
      </items>
    </pivotField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34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 chartFormat="1" rowHeaderCaption="">
  <location ref="G25:I42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SalesData3" displayName="SalesData3" ref="A1:J17" totalsRowShown="0">
  <autoFilter ref="A1:J17"/>
  <tableColumns count="10">
    <tableColumn id="1" name="Order_Date"/>
    <tableColumn id="2" name="Order_ID"/>
    <tableColumn id="3" name="Product"/>
    <tableColumn id="4" name="Category"/>
    <tableColumn id="5" name="Region"/>
    <tableColumn id="6" name="Quantity"/>
    <tableColumn id="7" name="Unit_Price"/>
    <tableColumn id="8" name="Cost"/>
    <tableColumn id="9" name="Sales">
      <calculatedColumnFormula>F2*G2</calculatedColumnFormula>
    </tableColumn>
    <tableColumn id="10" name="Profit">
      <calculatedColumnFormula>I2-H2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alesData" displayName="SalesData" ref="A2:K18" totalsRowShown="0">
  <autoFilter ref="A2:K18"/>
  <tableColumns count="11">
    <tableColumn id="1" name="Order_Date"/>
    <tableColumn id="2" name="Order_ID"/>
    <tableColumn id="3" name="Product"/>
    <tableColumn id="4" name="Category"/>
    <tableColumn id="5" name="Region"/>
    <tableColumn id="6" name="Quantity"/>
    <tableColumn id="7" name="Unit_Price"/>
    <tableColumn id="8" name="Cost"/>
    <tableColumn id="9" name="Sales">
      <calculatedColumnFormula>F3*G3</calculatedColumnFormula>
    </tableColumn>
    <tableColumn id="10" name="Profit">
      <calculatedColumnFormula>I3-H3</calculatedColumnFormula>
    </tableColumn>
    <tableColumn id="11" name="sum" dataDxfId="1">
      <calculatedColumnFormula>SUM(H2:H100)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3" totalsRowCount="1">
  <autoFilter ref="A1:D2"/>
  <tableColumns count="4">
    <tableColumn id="1" name="Total Sales">
      <calculatedColumnFormula>SUM(Working!I4:I18)</calculatedColumnFormula>
    </tableColumn>
    <tableColumn id="2" name="Total Orders">
      <calculatedColumnFormula>COUNTA(Working!B4:B18)</calculatedColumnFormula>
    </tableColumn>
    <tableColumn id="3" name="Total Quantity">
      <calculatedColumnFormula>SUM(Working!F4:F18)</calculatedColumnFormula>
    </tableColumn>
    <tableColumn id="4" name="Total Profit" totalsRowDxfId="0">
      <calculatedColumnFormula>SUM(Working!J4:J18)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A18" sqref="A18"/>
    </sheetView>
  </sheetViews>
  <sheetFormatPr defaultRowHeight="14.5" x14ac:dyDescent="0.35"/>
  <cols>
    <col min="1" max="1" width="10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</row>
    <row r="2" spans="1:10" x14ac:dyDescent="0.35">
      <c r="I2">
        <f>F2*G2</f>
        <v>0</v>
      </c>
      <c r="J2">
        <f>I2-H2</f>
        <v>0</v>
      </c>
    </row>
    <row r="3" spans="1:10" x14ac:dyDescent="0.35">
      <c r="A3" s="2">
        <v>46032</v>
      </c>
      <c r="B3" t="s">
        <v>10</v>
      </c>
      <c r="C3" t="s">
        <v>11</v>
      </c>
      <c r="D3" t="s">
        <v>12</v>
      </c>
      <c r="E3" t="s">
        <v>13</v>
      </c>
      <c r="F3">
        <v>2</v>
      </c>
      <c r="G3">
        <v>40000</v>
      </c>
      <c r="H3">
        <v>60000</v>
      </c>
      <c r="I3">
        <f t="shared" ref="I3:I17" si="0">F3*G3</f>
        <v>80000</v>
      </c>
      <c r="J3">
        <f t="shared" ref="J3:J17" si="1">I3-H3</f>
        <v>20000</v>
      </c>
    </row>
    <row r="4" spans="1:10" x14ac:dyDescent="0.35">
      <c r="A4" s="2">
        <v>46063</v>
      </c>
      <c r="B4" t="s">
        <v>14</v>
      </c>
      <c r="C4" t="s">
        <v>15</v>
      </c>
      <c r="D4" t="s">
        <v>16</v>
      </c>
      <c r="E4" t="s">
        <v>17</v>
      </c>
      <c r="F4">
        <v>3</v>
      </c>
      <c r="G4">
        <v>2500</v>
      </c>
      <c r="H4">
        <v>4500</v>
      </c>
      <c r="I4">
        <f t="shared" si="0"/>
        <v>7500</v>
      </c>
      <c r="J4">
        <f t="shared" si="1"/>
        <v>3000</v>
      </c>
    </row>
    <row r="5" spans="1:10" x14ac:dyDescent="0.35">
      <c r="A5" s="2">
        <v>46091</v>
      </c>
      <c r="B5" t="s">
        <v>18</v>
      </c>
      <c r="C5" t="s">
        <v>19</v>
      </c>
      <c r="D5" t="s">
        <v>12</v>
      </c>
      <c r="E5" t="s">
        <v>13</v>
      </c>
      <c r="F5">
        <v>5</v>
      </c>
      <c r="G5">
        <v>500</v>
      </c>
      <c r="H5">
        <v>1500</v>
      </c>
      <c r="I5">
        <f t="shared" si="0"/>
        <v>2500</v>
      </c>
      <c r="J5">
        <f t="shared" si="1"/>
        <v>1000</v>
      </c>
    </row>
    <row r="6" spans="1:10" x14ac:dyDescent="0.35">
      <c r="A6" s="2">
        <v>46122</v>
      </c>
      <c r="B6" t="s">
        <v>20</v>
      </c>
      <c r="C6" t="s">
        <v>21</v>
      </c>
      <c r="D6" t="s">
        <v>16</v>
      </c>
      <c r="E6" t="s">
        <v>22</v>
      </c>
      <c r="F6">
        <v>1</v>
      </c>
      <c r="G6">
        <v>7000</v>
      </c>
      <c r="H6">
        <v>5000</v>
      </c>
      <c r="I6">
        <f t="shared" si="0"/>
        <v>7000</v>
      </c>
      <c r="J6">
        <f t="shared" si="1"/>
        <v>2000</v>
      </c>
    </row>
    <row r="7" spans="1:10" x14ac:dyDescent="0.35">
      <c r="A7" s="2">
        <v>46152</v>
      </c>
      <c r="B7" t="s">
        <v>23</v>
      </c>
      <c r="C7" t="s">
        <v>24</v>
      </c>
      <c r="D7" t="s">
        <v>25</v>
      </c>
      <c r="E7" t="s">
        <v>26</v>
      </c>
      <c r="F7">
        <v>10</v>
      </c>
      <c r="G7">
        <v>50</v>
      </c>
      <c r="H7">
        <v>300</v>
      </c>
      <c r="I7">
        <f t="shared" si="0"/>
        <v>500</v>
      </c>
      <c r="J7">
        <f t="shared" si="1"/>
        <v>200</v>
      </c>
    </row>
    <row r="8" spans="1:10" x14ac:dyDescent="0.35">
      <c r="A8" s="2">
        <v>46183</v>
      </c>
      <c r="B8" t="s">
        <v>27</v>
      </c>
      <c r="C8" t="s">
        <v>28</v>
      </c>
      <c r="D8" t="s">
        <v>12</v>
      </c>
      <c r="E8" t="s">
        <v>17</v>
      </c>
      <c r="F8">
        <v>4</v>
      </c>
      <c r="G8">
        <v>1200</v>
      </c>
      <c r="H8">
        <v>2800</v>
      </c>
      <c r="I8">
        <f t="shared" si="0"/>
        <v>4800</v>
      </c>
      <c r="J8">
        <f t="shared" si="1"/>
        <v>2000</v>
      </c>
    </row>
    <row r="9" spans="1:10" x14ac:dyDescent="0.35">
      <c r="A9" s="2">
        <v>46213</v>
      </c>
      <c r="B9" t="s">
        <v>29</v>
      </c>
      <c r="C9" t="s">
        <v>30</v>
      </c>
      <c r="D9" t="s">
        <v>25</v>
      </c>
      <c r="E9" t="s">
        <v>13</v>
      </c>
      <c r="F9">
        <v>20</v>
      </c>
      <c r="G9">
        <v>20</v>
      </c>
      <c r="H9">
        <v>200</v>
      </c>
      <c r="I9">
        <f t="shared" si="0"/>
        <v>400</v>
      </c>
      <c r="J9">
        <f t="shared" si="1"/>
        <v>200</v>
      </c>
    </row>
    <row r="10" spans="1:10" x14ac:dyDescent="0.35">
      <c r="A10" s="2">
        <v>46244</v>
      </c>
      <c r="B10" t="s">
        <v>31</v>
      </c>
      <c r="C10" t="s">
        <v>32</v>
      </c>
      <c r="D10" t="s">
        <v>12</v>
      </c>
      <c r="E10" t="s">
        <v>22</v>
      </c>
      <c r="F10">
        <v>2</v>
      </c>
      <c r="G10">
        <v>10000</v>
      </c>
      <c r="H10">
        <v>15000</v>
      </c>
      <c r="I10">
        <f t="shared" si="0"/>
        <v>20000</v>
      </c>
      <c r="J10">
        <f t="shared" si="1"/>
        <v>5000</v>
      </c>
    </row>
    <row r="11" spans="1:10" x14ac:dyDescent="0.35">
      <c r="A11" s="2">
        <v>46275</v>
      </c>
      <c r="B11" t="s">
        <v>33</v>
      </c>
      <c r="C11" t="s">
        <v>34</v>
      </c>
      <c r="D11" t="s">
        <v>16</v>
      </c>
      <c r="E11" t="s">
        <v>26</v>
      </c>
      <c r="F11">
        <v>2</v>
      </c>
      <c r="G11">
        <v>5000</v>
      </c>
      <c r="H11">
        <v>7000</v>
      </c>
      <c r="I11">
        <f t="shared" si="0"/>
        <v>10000</v>
      </c>
      <c r="J11">
        <f t="shared" si="1"/>
        <v>3000</v>
      </c>
    </row>
    <row r="12" spans="1:10" x14ac:dyDescent="0.35">
      <c r="A12" s="2">
        <v>46305</v>
      </c>
      <c r="B12" t="s">
        <v>35</v>
      </c>
      <c r="C12" t="s">
        <v>24</v>
      </c>
      <c r="D12" t="s">
        <v>25</v>
      </c>
      <c r="E12" t="s">
        <v>17</v>
      </c>
      <c r="F12">
        <v>15</v>
      </c>
      <c r="G12">
        <v>50</v>
      </c>
      <c r="H12">
        <v>450</v>
      </c>
      <c r="I12">
        <f t="shared" si="0"/>
        <v>750</v>
      </c>
      <c r="J12">
        <f t="shared" si="1"/>
        <v>300</v>
      </c>
    </row>
    <row r="13" spans="1:10" x14ac:dyDescent="0.35">
      <c r="A13" s="2">
        <v>46336</v>
      </c>
      <c r="B13" t="s">
        <v>36</v>
      </c>
      <c r="C13" t="s">
        <v>11</v>
      </c>
      <c r="D13" t="s">
        <v>12</v>
      </c>
      <c r="E13" t="s">
        <v>26</v>
      </c>
      <c r="F13">
        <v>1</v>
      </c>
      <c r="G13">
        <v>40000</v>
      </c>
      <c r="H13">
        <v>30000</v>
      </c>
      <c r="I13">
        <f t="shared" si="0"/>
        <v>40000</v>
      </c>
      <c r="J13">
        <f t="shared" si="1"/>
        <v>10000</v>
      </c>
    </row>
    <row r="14" spans="1:10" x14ac:dyDescent="0.35">
      <c r="A14" s="2">
        <v>46366</v>
      </c>
      <c r="B14" t="s">
        <v>37</v>
      </c>
      <c r="C14" t="s">
        <v>15</v>
      </c>
      <c r="D14" t="s">
        <v>16</v>
      </c>
      <c r="E14" t="s">
        <v>13</v>
      </c>
      <c r="F14">
        <v>4</v>
      </c>
      <c r="G14">
        <v>2500</v>
      </c>
      <c r="H14">
        <v>6000</v>
      </c>
      <c r="I14">
        <f t="shared" si="0"/>
        <v>10000</v>
      </c>
      <c r="J14">
        <f t="shared" si="1"/>
        <v>4000</v>
      </c>
    </row>
    <row r="15" spans="1:10" x14ac:dyDescent="0.35">
      <c r="A15" t="s">
        <v>51</v>
      </c>
      <c r="B15" t="s">
        <v>38</v>
      </c>
      <c r="C15" t="s">
        <v>19</v>
      </c>
      <c r="D15" t="s">
        <v>12</v>
      </c>
      <c r="E15" t="s">
        <v>22</v>
      </c>
      <c r="F15">
        <v>8</v>
      </c>
      <c r="G15">
        <v>500</v>
      </c>
      <c r="H15">
        <v>2400</v>
      </c>
      <c r="I15">
        <f t="shared" si="0"/>
        <v>4000</v>
      </c>
      <c r="J15">
        <f t="shared" si="1"/>
        <v>1600</v>
      </c>
    </row>
    <row r="16" spans="1:10" x14ac:dyDescent="0.35">
      <c r="A16" t="s">
        <v>52</v>
      </c>
      <c r="B16" t="s">
        <v>39</v>
      </c>
      <c r="C16" t="s">
        <v>30</v>
      </c>
      <c r="D16" t="s">
        <v>25</v>
      </c>
      <c r="E16" t="s">
        <v>26</v>
      </c>
      <c r="F16">
        <v>25</v>
      </c>
      <c r="G16">
        <v>20</v>
      </c>
      <c r="H16">
        <v>250</v>
      </c>
      <c r="I16">
        <f t="shared" si="0"/>
        <v>500</v>
      </c>
      <c r="J16">
        <f t="shared" si="1"/>
        <v>250</v>
      </c>
    </row>
    <row r="17" spans="1:10" x14ac:dyDescent="0.35">
      <c r="A17" t="s">
        <v>53</v>
      </c>
      <c r="B17" t="s">
        <v>40</v>
      </c>
      <c r="C17" t="s">
        <v>32</v>
      </c>
      <c r="D17" t="s">
        <v>12</v>
      </c>
      <c r="E17" t="s">
        <v>17</v>
      </c>
      <c r="F17">
        <v>3</v>
      </c>
      <c r="G17">
        <v>10000</v>
      </c>
      <c r="H17">
        <v>22500</v>
      </c>
      <c r="I17">
        <f t="shared" si="0"/>
        <v>30000</v>
      </c>
      <c r="J17">
        <f t="shared" si="1"/>
        <v>7500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3" t="s">
        <v>42</v>
      </c>
      <c r="B3" t="s">
        <v>45</v>
      </c>
    </row>
    <row r="4" spans="1:2" x14ac:dyDescent="0.35">
      <c r="A4" s="4" t="s">
        <v>26</v>
      </c>
      <c r="B4" s="5">
        <v>51000</v>
      </c>
    </row>
    <row r="5" spans="1:2" x14ac:dyDescent="0.35">
      <c r="A5" s="4" t="s">
        <v>17</v>
      </c>
      <c r="B5" s="5">
        <v>43050</v>
      </c>
    </row>
    <row r="6" spans="1:2" x14ac:dyDescent="0.35">
      <c r="A6" s="4" t="s">
        <v>22</v>
      </c>
      <c r="B6" s="5">
        <v>31000</v>
      </c>
    </row>
    <row r="7" spans="1:2" x14ac:dyDescent="0.35">
      <c r="A7" s="4" t="s">
        <v>13</v>
      </c>
      <c r="B7" s="5">
        <v>92900</v>
      </c>
    </row>
    <row r="8" spans="1:2" x14ac:dyDescent="0.35">
      <c r="A8" s="4" t="s">
        <v>43</v>
      </c>
      <c r="B8" s="5">
        <v>0</v>
      </c>
    </row>
    <row r="9" spans="1:2" x14ac:dyDescent="0.35">
      <c r="A9" s="4" t="s">
        <v>44</v>
      </c>
      <c r="B9" s="5">
        <v>217950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3" t="s">
        <v>42</v>
      </c>
      <c r="B3" t="s">
        <v>45</v>
      </c>
    </row>
    <row r="4" spans="1:2" x14ac:dyDescent="0.35">
      <c r="A4" s="4" t="s">
        <v>15</v>
      </c>
      <c r="B4" s="5">
        <v>17500</v>
      </c>
    </row>
    <row r="5" spans="1:2" x14ac:dyDescent="0.35">
      <c r="A5" s="4" t="s">
        <v>21</v>
      </c>
      <c r="B5" s="5">
        <v>7000</v>
      </c>
    </row>
    <row r="6" spans="1:2" x14ac:dyDescent="0.35">
      <c r="A6" s="4" t="s">
        <v>28</v>
      </c>
      <c r="B6" s="5">
        <v>4800</v>
      </c>
    </row>
    <row r="7" spans="1:2" x14ac:dyDescent="0.35">
      <c r="A7" s="4" t="s">
        <v>11</v>
      </c>
      <c r="B7" s="5">
        <v>120000</v>
      </c>
    </row>
    <row r="8" spans="1:2" x14ac:dyDescent="0.35">
      <c r="A8" s="4" t="s">
        <v>32</v>
      </c>
      <c r="B8" s="5">
        <v>50000</v>
      </c>
    </row>
    <row r="9" spans="1:2" x14ac:dyDescent="0.35">
      <c r="A9" s="4" t="s">
        <v>19</v>
      </c>
      <c r="B9" s="5">
        <v>6500</v>
      </c>
    </row>
    <row r="10" spans="1:2" x14ac:dyDescent="0.35">
      <c r="A10" s="4" t="s">
        <v>24</v>
      </c>
      <c r="B10" s="5">
        <v>1250</v>
      </c>
    </row>
    <row r="11" spans="1:2" x14ac:dyDescent="0.35">
      <c r="A11" s="4" t="s">
        <v>30</v>
      </c>
      <c r="B11" s="5">
        <v>900</v>
      </c>
    </row>
    <row r="12" spans="1:2" x14ac:dyDescent="0.35">
      <c r="A12" s="4" t="s">
        <v>34</v>
      </c>
      <c r="B12" s="5">
        <v>10000</v>
      </c>
    </row>
    <row r="13" spans="1:2" x14ac:dyDescent="0.35">
      <c r="A13" s="4" t="s">
        <v>43</v>
      </c>
      <c r="B13" s="5">
        <v>0</v>
      </c>
    </row>
    <row r="14" spans="1:2" x14ac:dyDescent="0.35">
      <c r="A14" s="4" t="s">
        <v>44</v>
      </c>
      <c r="B14" s="5">
        <v>217950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8.6328125" customWidth="1"/>
    <col min="4" max="4" width="9.453125" bestFit="1" customWidth="1"/>
    <col min="5" max="5" width="6.7265625" customWidth="1"/>
    <col min="6" max="6" width="10.7265625" bestFit="1" customWidth="1"/>
  </cols>
  <sheetData>
    <row r="3" spans="1:6" x14ac:dyDescent="0.35">
      <c r="A3" s="3" t="s">
        <v>45</v>
      </c>
      <c r="B3" s="3" t="s">
        <v>46</v>
      </c>
    </row>
    <row r="4" spans="1:6" x14ac:dyDescent="0.35">
      <c r="A4" s="3" t="s">
        <v>42</v>
      </c>
      <c r="B4" t="s">
        <v>12</v>
      </c>
      <c r="C4" t="s">
        <v>16</v>
      </c>
      <c r="D4" t="s">
        <v>25</v>
      </c>
      <c r="E4" t="s">
        <v>43</v>
      </c>
      <c r="F4" t="s">
        <v>44</v>
      </c>
    </row>
    <row r="5" spans="1:6" x14ac:dyDescent="0.35">
      <c r="A5" s="4" t="s">
        <v>26</v>
      </c>
      <c r="B5" s="5">
        <v>40000</v>
      </c>
      <c r="C5" s="5">
        <v>10000</v>
      </c>
      <c r="D5" s="5">
        <v>1000</v>
      </c>
      <c r="E5" s="5"/>
      <c r="F5" s="5">
        <v>51000</v>
      </c>
    </row>
    <row r="6" spans="1:6" x14ac:dyDescent="0.35">
      <c r="A6" s="4" t="s">
        <v>17</v>
      </c>
      <c r="B6" s="5">
        <v>34800</v>
      </c>
      <c r="C6" s="5">
        <v>7500</v>
      </c>
      <c r="D6" s="5">
        <v>750</v>
      </c>
      <c r="E6" s="5"/>
      <c r="F6" s="5">
        <v>43050</v>
      </c>
    </row>
    <row r="7" spans="1:6" x14ac:dyDescent="0.35">
      <c r="A7" s="4" t="s">
        <v>22</v>
      </c>
      <c r="B7" s="5">
        <v>24000</v>
      </c>
      <c r="C7" s="5">
        <v>7000</v>
      </c>
      <c r="D7" s="5"/>
      <c r="E7" s="5"/>
      <c r="F7" s="5">
        <v>31000</v>
      </c>
    </row>
    <row r="8" spans="1:6" x14ac:dyDescent="0.35">
      <c r="A8" s="4" t="s">
        <v>13</v>
      </c>
      <c r="B8" s="5">
        <v>82500</v>
      </c>
      <c r="C8" s="5">
        <v>10000</v>
      </c>
      <c r="D8" s="5">
        <v>400</v>
      </c>
      <c r="E8" s="5"/>
      <c r="F8" s="5">
        <v>92900</v>
      </c>
    </row>
    <row r="9" spans="1:6" x14ac:dyDescent="0.35">
      <c r="A9" s="4" t="s">
        <v>43</v>
      </c>
      <c r="B9" s="5"/>
      <c r="C9" s="5"/>
      <c r="D9" s="5"/>
      <c r="E9" s="5">
        <v>0</v>
      </c>
      <c r="F9" s="5">
        <v>0</v>
      </c>
    </row>
    <row r="10" spans="1:6" x14ac:dyDescent="0.35">
      <c r="A10" s="4" t="s">
        <v>44</v>
      </c>
      <c r="B10" s="5">
        <v>181300</v>
      </c>
      <c r="C10" s="5">
        <v>34500</v>
      </c>
      <c r="D10" s="5">
        <v>2150</v>
      </c>
      <c r="E10" s="5">
        <v>0</v>
      </c>
      <c r="F10" s="5">
        <v>217950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3" t="s">
        <v>42</v>
      </c>
      <c r="B3" t="s">
        <v>45</v>
      </c>
    </row>
    <row r="4" spans="1:2" x14ac:dyDescent="0.35">
      <c r="A4" s="4" t="s">
        <v>51</v>
      </c>
      <c r="B4" s="5">
        <v>4000</v>
      </c>
    </row>
    <row r="5" spans="1:2" x14ac:dyDescent="0.35">
      <c r="A5" s="4" t="s">
        <v>52</v>
      </c>
      <c r="B5" s="5">
        <v>500</v>
      </c>
    </row>
    <row r="6" spans="1:2" x14ac:dyDescent="0.35">
      <c r="A6" s="4" t="s">
        <v>53</v>
      </c>
      <c r="B6" s="5">
        <v>30000</v>
      </c>
    </row>
    <row r="7" spans="1:2" x14ac:dyDescent="0.35">
      <c r="A7" s="15">
        <v>46032</v>
      </c>
      <c r="B7" s="5">
        <v>80000</v>
      </c>
    </row>
    <row r="8" spans="1:2" x14ac:dyDescent="0.35">
      <c r="A8" s="15">
        <v>46063</v>
      </c>
      <c r="B8" s="5">
        <v>7500</v>
      </c>
    </row>
    <row r="9" spans="1:2" x14ac:dyDescent="0.35">
      <c r="A9" s="15">
        <v>46091</v>
      </c>
      <c r="B9" s="5">
        <v>2500</v>
      </c>
    </row>
    <row r="10" spans="1:2" x14ac:dyDescent="0.35">
      <c r="A10" s="15">
        <v>46122</v>
      </c>
      <c r="B10" s="5">
        <v>7000</v>
      </c>
    </row>
    <row r="11" spans="1:2" x14ac:dyDescent="0.35">
      <c r="A11" s="15">
        <v>46152</v>
      </c>
      <c r="B11" s="5">
        <v>500</v>
      </c>
    </row>
    <row r="12" spans="1:2" x14ac:dyDescent="0.35">
      <c r="A12" s="15">
        <v>46183</v>
      </c>
      <c r="B12" s="5">
        <v>4800</v>
      </c>
    </row>
    <row r="13" spans="1:2" x14ac:dyDescent="0.35">
      <c r="A13" s="15">
        <v>46213</v>
      </c>
      <c r="B13" s="5">
        <v>400</v>
      </c>
    </row>
    <row r="14" spans="1:2" x14ac:dyDescent="0.35">
      <c r="A14" s="15">
        <v>46244</v>
      </c>
      <c r="B14" s="5">
        <v>20000</v>
      </c>
    </row>
    <row r="15" spans="1:2" x14ac:dyDescent="0.35">
      <c r="A15" s="15">
        <v>46275</v>
      </c>
      <c r="B15" s="5">
        <v>10000</v>
      </c>
    </row>
    <row r="16" spans="1:2" x14ac:dyDescent="0.35">
      <c r="A16" s="15">
        <v>46305</v>
      </c>
      <c r="B16" s="5">
        <v>750</v>
      </c>
    </row>
    <row r="17" spans="1:2" x14ac:dyDescent="0.35">
      <c r="A17" s="15">
        <v>46336</v>
      </c>
      <c r="B17" s="5">
        <v>40000</v>
      </c>
    </row>
    <row r="18" spans="1:2" x14ac:dyDescent="0.35">
      <c r="A18" s="15">
        <v>46366</v>
      </c>
      <c r="B18" s="5">
        <v>10000</v>
      </c>
    </row>
    <row r="19" spans="1:2" x14ac:dyDescent="0.35">
      <c r="A19" s="4" t="s">
        <v>43</v>
      </c>
      <c r="B19" s="5">
        <v>0</v>
      </c>
    </row>
    <row r="20" spans="1:2" x14ac:dyDescent="0.35">
      <c r="A20" s="4" t="s">
        <v>44</v>
      </c>
      <c r="B20" s="5">
        <v>217950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zoomScaleNormal="100" workbookViewId="0">
      <selection activeCell="I4" sqref="I4"/>
    </sheetView>
  </sheetViews>
  <sheetFormatPr defaultRowHeight="14.5" x14ac:dyDescent="0.35"/>
  <cols>
    <col min="1" max="1" width="12.7265625" customWidth="1"/>
    <col min="2" max="2" width="10.54296875" customWidth="1"/>
    <col min="3" max="3" width="9.453125" customWidth="1"/>
    <col min="4" max="4" width="10.26953125" customWidth="1"/>
    <col min="6" max="6" width="10.1796875" customWidth="1"/>
    <col min="7" max="7" width="11.453125" customWidth="1"/>
  </cols>
  <sheetData>
    <row r="2" spans="1:1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7</v>
      </c>
      <c r="J2" t="s">
        <v>9</v>
      </c>
      <c r="K2" t="s">
        <v>41</v>
      </c>
    </row>
    <row r="3" spans="1:11" x14ac:dyDescent="0.35">
      <c r="I3">
        <f>F3*G3</f>
        <v>0</v>
      </c>
      <c r="J3">
        <f>I3-H3</f>
        <v>0</v>
      </c>
    </row>
    <row r="4" spans="1:11" x14ac:dyDescent="0.35">
      <c r="A4" s="2">
        <v>46032</v>
      </c>
      <c r="B4" t="s">
        <v>10</v>
      </c>
      <c r="C4" t="s">
        <v>11</v>
      </c>
      <c r="D4" t="s">
        <v>12</v>
      </c>
      <c r="E4" t="s">
        <v>13</v>
      </c>
      <c r="F4">
        <v>2</v>
      </c>
      <c r="G4">
        <v>40000</v>
      </c>
      <c r="H4">
        <v>60000</v>
      </c>
      <c r="I4">
        <f t="shared" ref="I4:I18" si="0">F4*G4</f>
        <v>80000</v>
      </c>
      <c r="J4">
        <f t="shared" ref="J4:J18" si="1">I4-H4</f>
        <v>20000</v>
      </c>
      <c r="K4">
        <f t="shared" ref="K4:K18" si="2">SUM(H3:H101)</f>
        <v>157900</v>
      </c>
    </row>
    <row r="5" spans="1:11" x14ac:dyDescent="0.35">
      <c r="A5" s="2">
        <v>46063</v>
      </c>
      <c r="B5" t="s">
        <v>14</v>
      </c>
      <c r="C5" t="s">
        <v>15</v>
      </c>
      <c r="D5" t="s">
        <v>16</v>
      </c>
      <c r="E5" t="s">
        <v>17</v>
      </c>
      <c r="F5">
        <v>3</v>
      </c>
      <c r="G5">
        <v>2500</v>
      </c>
      <c r="H5">
        <v>4500</v>
      </c>
      <c r="I5">
        <f t="shared" si="0"/>
        <v>7500</v>
      </c>
      <c r="J5">
        <f t="shared" si="1"/>
        <v>3000</v>
      </c>
      <c r="K5">
        <f t="shared" si="2"/>
        <v>157900</v>
      </c>
    </row>
    <row r="6" spans="1:11" x14ac:dyDescent="0.35">
      <c r="A6" s="2">
        <v>46091</v>
      </c>
      <c r="B6" t="s">
        <v>18</v>
      </c>
      <c r="C6" t="s">
        <v>19</v>
      </c>
      <c r="D6" t="s">
        <v>12</v>
      </c>
      <c r="E6" t="s">
        <v>13</v>
      </c>
      <c r="F6">
        <v>5</v>
      </c>
      <c r="G6">
        <v>500</v>
      </c>
      <c r="H6">
        <v>1500</v>
      </c>
      <c r="I6">
        <f t="shared" si="0"/>
        <v>2500</v>
      </c>
      <c r="J6">
        <f t="shared" si="1"/>
        <v>1000</v>
      </c>
      <c r="K6">
        <f t="shared" si="2"/>
        <v>97900</v>
      </c>
    </row>
    <row r="7" spans="1:11" x14ac:dyDescent="0.35">
      <c r="A7" s="2">
        <v>46122</v>
      </c>
      <c r="B7" t="s">
        <v>20</v>
      </c>
      <c r="C7" t="s">
        <v>21</v>
      </c>
      <c r="D7" t="s">
        <v>16</v>
      </c>
      <c r="E7" t="s">
        <v>22</v>
      </c>
      <c r="F7">
        <v>1</v>
      </c>
      <c r="G7">
        <v>7000</v>
      </c>
      <c r="H7">
        <v>5000</v>
      </c>
      <c r="I7">
        <f t="shared" si="0"/>
        <v>7000</v>
      </c>
      <c r="J7">
        <f t="shared" si="1"/>
        <v>2000</v>
      </c>
      <c r="K7">
        <f t="shared" si="2"/>
        <v>93400</v>
      </c>
    </row>
    <row r="8" spans="1:11" x14ac:dyDescent="0.35">
      <c r="A8" s="2">
        <v>46152</v>
      </c>
      <c r="B8" t="s">
        <v>23</v>
      </c>
      <c r="C8" t="s">
        <v>24</v>
      </c>
      <c r="D8" t="s">
        <v>25</v>
      </c>
      <c r="E8" t="s">
        <v>26</v>
      </c>
      <c r="F8">
        <v>10</v>
      </c>
      <c r="G8">
        <v>50</v>
      </c>
      <c r="H8">
        <v>300</v>
      </c>
      <c r="I8">
        <f t="shared" si="0"/>
        <v>500</v>
      </c>
      <c r="J8">
        <f t="shared" si="1"/>
        <v>200</v>
      </c>
      <c r="K8">
        <f t="shared" si="2"/>
        <v>91900</v>
      </c>
    </row>
    <row r="9" spans="1:11" x14ac:dyDescent="0.35">
      <c r="A9" s="2">
        <v>46183</v>
      </c>
      <c r="B9" t="s">
        <v>27</v>
      </c>
      <c r="C9" t="s">
        <v>28</v>
      </c>
      <c r="D9" t="s">
        <v>12</v>
      </c>
      <c r="E9" t="s">
        <v>17</v>
      </c>
      <c r="F9">
        <v>4</v>
      </c>
      <c r="G9">
        <v>1200</v>
      </c>
      <c r="H9">
        <v>2800</v>
      </c>
      <c r="I9">
        <f t="shared" si="0"/>
        <v>4800</v>
      </c>
      <c r="J9">
        <f t="shared" si="1"/>
        <v>2000</v>
      </c>
      <c r="K9">
        <f t="shared" si="2"/>
        <v>86900</v>
      </c>
    </row>
    <row r="10" spans="1:11" x14ac:dyDescent="0.35">
      <c r="A10" s="2">
        <v>46213</v>
      </c>
      <c r="B10" t="s">
        <v>29</v>
      </c>
      <c r="C10" t="s">
        <v>30</v>
      </c>
      <c r="D10" t="s">
        <v>25</v>
      </c>
      <c r="E10" t="s">
        <v>13</v>
      </c>
      <c r="F10">
        <v>20</v>
      </c>
      <c r="G10">
        <v>20</v>
      </c>
      <c r="H10">
        <v>200</v>
      </c>
      <c r="I10">
        <f t="shared" si="0"/>
        <v>400</v>
      </c>
      <c r="J10">
        <f t="shared" si="1"/>
        <v>200</v>
      </c>
      <c r="K10">
        <f t="shared" si="2"/>
        <v>86600</v>
      </c>
    </row>
    <row r="11" spans="1:11" x14ac:dyDescent="0.35">
      <c r="A11" s="2">
        <v>46244</v>
      </c>
      <c r="B11" t="s">
        <v>31</v>
      </c>
      <c r="C11" t="s">
        <v>32</v>
      </c>
      <c r="D11" t="s">
        <v>12</v>
      </c>
      <c r="E11" t="s">
        <v>22</v>
      </c>
      <c r="F11">
        <v>2</v>
      </c>
      <c r="G11">
        <v>10000</v>
      </c>
      <c r="H11">
        <v>15000</v>
      </c>
      <c r="I11">
        <f t="shared" si="0"/>
        <v>20000</v>
      </c>
      <c r="J11">
        <f t="shared" si="1"/>
        <v>5000</v>
      </c>
      <c r="K11">
        <f t="shared" si="2"/>
        <v>83800</v>
      </c>
    </row>
    <row r="12" spans="1:11" x14ac:dyDescent="0.35">
      <c r="A12" s="2">
        <v>46275</v>
      </c>
      <c r="B12" t="s">
        <v>33</v>
      </c>
      <c r="C12" t="s">
        <v>34</v>
      </c>
      <c r="D12" t="s">
        <v>16</v>
      </c>
      <c r="E12" t="s">
        <v>26</v>
      </c>
      <c r="F12">
        <v>2</v>
      </c>
      <c r="G12">
        <v>5000</v>
      </c>
      <c r="H12">
        <v>7000</v>
      </c>
      <c r="I12">
        <f t="shared" si="0"/>
        <v>10000</v>
      </c>
      <c r="J12">
        <f t="shared" si="1"/>
        <v>3000</v>
      </c>
      <c r="K12">
        <f t="shared" si="2"/>
        <v>83600</v>
      </c>
    </row>
    <row r="13" spans="1:11" x14ac:dyDescent="0.35">
      <c r="A13" s="2">
        <v>46305</v>
      </c>
      <c r="B13" t="s">
        <v>35</v>
      </c>
      <c r="C13" t="s">
        <v>24</v>
      </c>
      <c r="D13" t="s">
        <v>25</v>
      </c>
      <c r="E13" t="s">
        <v>17</v>
      </c>
      <c r="F13">
        <v>15</v>
      </c>
      <c r="G13">
        <v>50</v>
      </c>
      <c r="H13">
        <v>450</v>
      </c>
      <c r="I13">
        <f t="shared" si="0"/>
        <v>750</v>
      </c>
      <c r="J13">
        <f t="shared" si="1"/>
        <v>300</v>
      </c>
      <c r="K13">
        <f t="shared" si="2"/>
        <v>68600</v>
      </c>
    </row>
    <row r="14" spans="1:11" x14ac:dyDescent="0.35">
      <c r="A14" s="2">
        <v>46336</v>
      </c>
      <c r="B14" t="s">
        <v>36</v>
      </c>
      <c r="C14" t="s">
        <v>11</v>
      </c>
      <c r="D14" t="s">
        <v>12</v>
      </c>
      <c r="E14" t="s">
        <v>26</v>
      </c>
      <c r="F14">
        <v>1</v>
      </c>
      <c r="G14">
        <v>40000</v>
      </c>
      <c r="H14">
        <v>30000</v>
      </c>
      <c r="I14">
        <f t="shared" si="0"/>
        <v>40000</v>
      </c>
      <c r="J14">
        <f t="shared" si="1"/>
        <v>10000</v>
      </c>
      <c r="K14">
        <f t="shared" si="2"/>
        <v>61600</v>
      </c>
    </row>
    <row r="15" spans="1:11" x14ac:dyDescent="0.35">
      <c r="A15" s="2">
        <v>46366</v>
      </c>
      <c r="B15" t="s">
        <v>37</v>
      </c>
      <c r="C15" t="s">
        <v>15</v>
      </c>
      <c r="D15" t="s">
        <v>16</v>
      </c>
      <c r="E15" t="s">
        <v>13</v>
      </c>
      <c r="F15">
        <v>4</v>
      </c>
      <c r="G15">
        <v>2500</v>
      </c>
      <c r="H15">
        <v>6000</v>
      </c>
      <c r="I15">
        <f t="shared" si="0"/>
        <v>10000</v>
      </c>
      <c r="J15">
        <f t="shared" si="1"/>
        <v>4000</v>
      </c>
      <c r="K15">
        <f t="shared" si="2"/>
        <v>61150</v>
      </c>
    </row>
    <row r="16" spans="1:11" x14ac:dyDescent="0.35">
      <c r="A16" t="s">
        <v>51</v>
      </c>
      <c r="B16" t="s">
        <v>38</v>
      </c>
      <c r="C16" t="s">
        <v>19</v>
      </c>
      <c r="D16" t="s">
        <v>12</v>
      </c>
      <c r="E16" t="s">
        <v>22</v>
      </c>
      <c r="F16">
        <v>8</v>
      </c>
      <c r="G16">
        <v>500</v>
      </c>
      <c r="H16">
        <v>2400</v>
      </c>
      <c r="I16">
        <f t="shared" si="0"/>
        <v>4000</v>
      </c>
      <c r="J16">
        <f t="shared" si="1"/>
        <v>1600</v>
      </c>
      <c r="K16">
        <f t="shared" si="2"/>
        <v>31150</v>
      </c>
    </row>
    <row r="17" spans="1:11" x14ac:dyDescent="0.35">
      <c r="A17" t="s">
        <v>52</v>
      </c>
      <c r="B17" t="s">
        <v>39</v>
      </c>
      <c r="C17" t="s">
        <v>30</v>
      </c>
      <c r="D17" t="s">
        <v>25</v>
      </c>
      <c r="E17" t="s">
        <v>26</v>
      </c>
      <c r="F17">
        <v>25</v>
      </c>
      <c r="G17">
        <v>20</v>
      </c>
      <c r="H17">
        <v>250</v>
      </c>
      <c r="I17">
        <f t="shared" si="0"/>
        <v>500</v>
      </c>
      <c r="J17">
        <f t="shared" si="1"/>
        <v>250</v>
      </c>
      <c r="K17">
        <f t="shared" si="2"/>
        <v>25150</v>
      </c>
    </row>
    <row r="18" spans="1:11" x14ac:dyDescent="0.35">
      <c r="A18" t="s">
        <v>53</v>
      </c>
      <c r="B18" t="s">
        <v>40</v>
      </c>
      <c r="C18" t="s">
        <v>32</v>
      </c>
      <c r="D18" t="s">
        <v>12</v>
      </c>
      <c r="E18" t="s">
        <v>17</v>
      </c>
      <c r="F18">
        <v>3</v>
      </c>
      <c r="G18">
        <v>10000</v>
      </c>
      <c r="H18">
        <v>22500</v>
      </c>
      <c r="I18">
        <f t="shared" si="0"/>
        <v>30000</v>
      </c>
      <c r="J18">
        <f t="shared" si="1"/>
        <v>7500</v>
      </c>
      <c r="K18">
        <f t="shared" si="2"/>
        <v>22750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1.26953125" customWidth="1"/>
    <col min="3" max="3" width="11.26953125" bestFit="1" customWidth="1"/>
  </cols>
  <sheetData>
    <row r="3" spans="1:2" x14ac:dyDescent="0.35">
      <c r="A3" s="3" t="s">
        <v>42</v>
      </c>
      <c r="B3" t="s">
        <v>45</v>
      </c>
    </row>
    <row r="4" spans="1:2" x14ac:dyDescent="0.35">
      <c r="A4" s="4" t="s">
        <v>12</v>
      </c>
      <c r="B4" s="5">
        <v>181300</v>
      </c>
    </row>
    <row r="5" spans="1:2" x14ac:dyDescent="0.35">
      <c r="A5" s="4" t="s">
        <v>16</v>
      </c>
      <c r="B5" s="5">
        <v>34500</v>
      </c>
    </row>
    <row r="6" spans="1:2" x14ac:dyDescent="0.35">
      <c r="A6" s="4" t="s">
        <v>25</v>
      </c>
      <c r="B6" s="5">
        <v>2150</v>
      </c>
    </row>
    <row r="7" spans="1:2" x14ac:dyDescent="0.35">
      <c r="A7" s="4" t="s">
        <v>43</v>
      </c>
      <c r="B7" s="5">
        <v>0</v>
      </c>
    </row>
    <row r="8" spans="1:2" x14ac:dyDescent="0.35">
      <c r="A8" s="4" t="s">
        <v>44</v>
      </c>
      <c r="B8" s="5">
        <v>217950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topLeftCell="A22" workbookViewId="0">
      <selection activeCell="D3" sqref="D3"/>
    </sheetView>
  </sheetViews>
  <sheetFormatPr defaultRowHeight="14.5" x14ac:dyDescent="0.35"/>
  <cols>
    <col min="1" max="1" width="11.7265625" customWidth="1"/>
    <col min="2" max="2" width="13.26953125" customWidth="1"/>
    <col min="3" max="3" width="14.90625" customWidth="1"/>
    <col min="4" max="4" width="12.26953125" customWidth="1"/>
    <col min="7" max="7" width="10.6328125" customWidth="1"/>
    <col min="8" max="8" width="17.7265625" bestFit="1" customWidth="1"/>
  </cols>
  <sheetData>
    <row r="1" spans="1:4" x14ac:dyDescent="0.35">
      <c r="A1" t="s">
        <v>47</v>
      </c>
      <c r="B1" t="s">
        <v>48</v>
      </c>
      <c r="C1" t="s">
        <v>49</v>
      </c>
      <c r="D1" t="s">
        <v>50</v>
      </c>
    </row>
    <row r="2" spans="1:4" x14ac:dyDescent="0.35">
      <c r="A2">
        <f>SUM(Working!I4:I18)</f>
        <v>217950</v>
      </c>
      <c r="B2" s="1">
        <f>COUNTA(Working!B4:B18)</f>
        <v>15</v>
      </c>
      <c r="C2">
        <f>SUM(Working!F4:F18)</f>
        <v>105</v>
      </c>
      <c r="D2">
        <f>SUM(Working!J4:J18)</f>
        <v>60050</v>
      </c>
    </row>
    <row r="3" spans="1:4" x14ac:dyDescent="0.35">
      <c r="D3" s="16"/>
    </row>
    <row r="4" spans="1:4" x14ac:dyDescent="0.35">
      <c r="D4" s="1"/>
    </row>
    <row r="5" spans="1:4" x14ac:dyDescent="0.35">
      <c r="D5" s="1"/>
    </row>
    <row r="6" spans="1:4" x14ac:dyDescent="0.35">
      <c r="D6" s="1"/>
    </row>
    <row r="7" spans="1:4" x14ac:dyDescent="0.35">
      <c r="D7" s="1"/>
    </row>
    <row r="8" spans="1:4" x14ac:dyDescent="0.35">
      <c r="D8" s="1"/>
    </row>
    <row r="9" spans="1:4" x14ac:dyDescent="0.35">
      <c r="D9" s="1"/>
    </row>
    <row r="10" spans="1:4" x14ac:dyDescent="0.35">
      <c r="D10" s="1"/>
    </row>
    <row r="11" spans="1:4" x14ac:dyDescent="0.35">
      <c r="D11" s="1"/>
    </row>
    <row r="12" spans="1:4" x14ac:dyDescent="0.35">
      <c r="D12" s="1"/>
    </row>
    <row r="13" spans="1:4" x14ac:dyDescent="0.35">
      <c r="D13" s="1"/>
    </row>
    <row r="15" spans="1:4" x14ac:dyDescent="0.35">
      <c r="D15" s="1"/>
    </row>
    <row r="16" spans="1:4" x14ac:dyDescent="0.35">
      <c r="D16" s="1"/>
    </row>
    <row r="17" spans="4:9" x14ac:dyDescent="0.35">
      <c r="D17" s="1"/>
    </row>
    <row r="18" spans="4:9" x14ac:dyDescent="0.35">
      <c r="D18" s="1"/>
    </row>
    <row r="25" spans="4:9" x14ac:dyDescent="0.35">
      <c r="G25" s="6"/>
      <c r="H25" s="7"/>
      <c r="I25" s="8"/>
    </row>
    <row r="26" spans="4:9" x14ac:dyDescent="0.35">
      <c r="G26" s="9"/>
      <c r="H26" s="10"/>
      <c r="I26" s="11"/>
    </row>
    <row r="27" spans="4:9" x14ac:dyDescent="0.35">
      <c r="G27" s="9"/>
      <c r="H27" s="10"/>
      <c r="I27" s="11"/>
    </row>
    <row r="28" spans="4:9" x14ac:dyDescent="0.35">
      <c r="G28" s="9"/>
      <c r="H28" s="10"/>
      <c r="I28" s="11"/>
    </row>
    <row r="29" spans="4:9" x14ac:dyDescent="0.35">
      <c r="G29" s="9"/>
      <c r="H29" s="10"/>
      <c r="I29" s="11"/>
    </row>
    <row r="30" spans="4:9" x14ac:dyDescent="0.35">
      <c r="G30" s="9"/>
      <c r="H30" s="10"/>
      <c r="I30" s="11"/>
    </row>
    <row r="31" spans="4:9" x14ac:dyDescent="0.35">
      <c r="G31" s="9"/>
      <c r="H31" s="10"/>
      <c r="I31" s="11"/>
    </row>
    <row r="32" spans="4:9" x14ac:dyDescent="0.35">
      <c r="G32" s="9"/>
      <c r="H32" s="10"/>
      <c r="I32" s="11"/>
    </row>
    <row r="33" spans="7:9" x14ac:dyDescent="0.35">
      <c r="G33" s="9"/>
      <c r="H33" s="10"/>
      <c r="I33" s="11"/>
    </row>
    <row r="34" spans="7:9" x14ac:dyDescent="0.35">
      <c r="G34" s="9"/>
      <c r="H34" s="10"/>
      <c r="I34" s="11"/>
    </row>
    <row r="35" spans="7:9" x14ac:dyDescent="0.35">
      <c r="G35" s="9"/>
      <c r="H35" s="10"/>
      <c r="I35" s="11"/>
    </row>
    <row r="36" spans="7:9" x14ac:dyDescent="0.35">
      <c r="G36" s="9"/>
      <c r="H36" s="10"/>
      <c r="I36" s="11"/>
    </row>
    <row r="37" spans="7:9" x14ac:dyDescent="0.35">
      <c r="G37" s="9"/>
      <c r="H37" s="10"/>
      <c r="I37" s="11"/>
    </row>
    <row r="38" spans="7:9" x14ac:dyDescent="0.35">
      <c r="G38" s="9"/>
      <c r="H38" s="10"/>
      <c r="I38" s="11"/>
    </row>
    <row r="39" spans="7:9" x14ac:dyDescent="0.35">
      <c r="G39" s="9"/>
      <c r="H39" s="10"/>
      <c r="I39" s="11"/>
    </row>
    <row r="40" spans="7:9" x14ac:dyDescent="0.35">
      <c r="G40" s="9"/>
      <c r="H40" s="10"/>
      <c r="I40" s="11"/>
    </row>
    <row r="41" spans="7:9" x14ac:dyDescent="0.35">
      <c r="G41" s="9"/>
      <c r="H41" s="10"/>
      <c r="I41" s="11"/>
    </row>
    <row r="42" spans="7:9" x14ac:dyDescent="0.35">
      <c r="G42" s="12"/>
      <c r="H42" s="13"/>
      <c r="I42" s="14"/>
    </row>
  </sheetData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Sales by Region</vt:lpstr>
      <vt:lpstr>Sales by Product</vt:lpstr>
      <vt:lpstr>Region vs. Category</vt:lpstr>
      <vt:lpstr>Monthly Sales Trend</vt:lpstr>
      <vt:lpstr>Working</vt:lpstr>
      <vt:lpstr>Sales by Category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2026-10-14T04:42:42Z</dcterms:created>
  <dcterms:modified xsi:type="dcterms:W3CDTF">2026-10-14T14:55:54Z</dcterms:modified>
</cp:coreProperties>
</file>